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E\Ingenieria_Software_I\"/>
    </mc:Choice>
  </mc:AlternateContent>
  <xr:revisionPtr revIDLastSave="0" documentId="13_ncr:1_{B4C6FEEB-DBC7-4A16-B57C-07065797DE9A}" xr6:coauthVersionLast="47" xr6:coauthVersionMax="47" xr10:uidLastSave="{00000000-0000-0000-0000-000000000000}"/>
  <bookViews>
    <workbookView xWindow="33570" yWindow="1095" windowWidth="23670" windowHeight="15600" xr2:uid="{935C2BDB-A3E4-49F9-9716-3CA93E5538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1" l="1"/>
  <c r="J37" i="1"/>
  <c r="F37" i="1"/>
  <c r="G37" i="1"/>
  <c r="H37" i="1"/>
  <c r="I37" i="1"/>
  <c r="E37" i="1"/>
  <c r="E40" i="1" s="1"/>
  <c r="E43" i="1" s="1"/>
  <c r="E44" i="1"/>
  <c r="G40" i="1"/>
  <c r="G43" i="1" s="1"/>
  <c r="H3" i="1"/>
  <c r="H40" i="1"/>
  <c r="H43" i="1" s="1"/>
  <c r="F40" i="1"/>
  <c r="F43" i="1" s="1"/>
  <c r="I40" i="1"/>
  <c r="I43" i="1" s="1"/>
  <c r="J40" i="1"/>
  <c r="J43" i="1" s="1"/>
</calcChain>
</file>

<file path=xl/sharedStrings.xml><?xml version="1.0" encoding="utf-8"?>
<sst xmlns="http://schemas.openxmlformats.org/spreadsheetml/2006/main" count="61" uniqueCount="61">
  <si>
    <t>FICHA DE EVALUACIÓN DE LA EXPOSICIÓN</t>
  </si>
  <si>
    <t>NOMBRE DEL EVALUADOR :</t>
  </si>
  <si>
    <t>Competencias</t>
  </si>
  <si>
    <t>Categorias</t>
  </si>
  <si>
    <t>N°</t>
  </si>
  <si>
    <t>Criterios de Evaluación</t>
  </si>
  <si>
    <t>NÚMERO DEL GRUPO</t>
  </si>
  <si>
    <t>* Puntaje de los Criterios de Evaluación</t>
  </si>
  <si>
    <t>Dominio del tema</t>
  </si>
  <si>
    <t>Tonalidad de Voz</t>
  </si>
  <si>
    <t>Seguridad</t>
  </si>
  <si>
    <t>Uso del tiempo</t>
  </si>
  <si>
    <t>Diseño de la presentación</t>
  </si>
  <si>
    <t>TOTAL</t>
  </si>
  <si>
    <t>Puntaje de los Criterios de Evaluación (*)</t>
  </si>
  <si>
    <t>BAJO</t>
  </si>
  <si>
    <t>REGULAR</t>
  </si>
  <si>
    <t>BUENO</t>
  </si>
  <si>
    <t>EXCELENTE</t>
  </si>
  <si>
    <t>Jurado 01</t>
  </si>
  <si>
    <t>Jurado 02</t>
  </si>
  <si>
    <t>Jurado 03</t>
  </si>
  <si>
    <t>PROMEDIO</t>
  </si>
  <si>
    <t>Pensamiento crítico</t>
  </si>
  <si>
    <t>EQUIPOS DE LOS JURADOS</t>
  </si>
  <si>
    <t>ASIGNATURA: ANALISIS DE SISTEMAS</t>
  </si>
  <si>
    <t>Formula requisitos claros, necesarios, no ambiguos y con identificadores únicos.</t>
  </si>
  <si>
    <t>Contrasta versiones/fuentes, identifica supuestos y registra dudas o conflictos.</t>
  </si>
  <si>
    <t>Documento ordenado, trazable a fuentes, con redacción, citas y exposición clara.</t>
  </si>
  <si>
    <t>Especifica funciones con identificador, actor/condición, resultado y criterios verificables.</t>
  </si>
  <si>
    <t>Aplica criterios de calidad y prioridad; resuelve duplicidades, conflictos y ambigüedades.</t>
  </si>
  <si>
    <t>Relaciona necesidad/problema → requisito → modelo/criterio de aceptación, con cobertura y estado.</t>
  </si>
  <si>
    <t>Entregables legibles, versionados, con anexos necesarios y pasos suficientes para revisar/replicar el análisis.</t>
  </si>
  <si>
    <t>Declara uso de herramientas/IA, verifica resultados, protege datos y referencia fuentes; aporta evidencia propia.</t>
  </si>
  <si>
    <t>Revisión del Material Fisico y subido en Aula Virtual (Doc,Ppt, Pdf, entre otros)</t>
  </si>
  <si>
    <t>VALIDACIÓN, INTEGRACIÓN Y DEFENSA FINAL</t>
  </si>
  <si>
    <t>CONOCIMIENTO, DESEMPEÑO Y PRODUCTO</t>
  </si>
  <si>
    <t>ASPECTOS GENERALES</t>
  </si>
  <si>
    <t>Factor</t>
  </si>
  <si>
    <t>Modelos pertinentes (DFD/UML u otros según el caso), correctos y consistentes entre sí.</t>
  </si>
  <si>
    <t>Organiza conforme a buenas prácticas/ISO 29148 aplicable; alcance, interfaces, requisitos y verificabilidad claros.</t>
  </si>
  <si>
    <t>PERIODO : 2026-II</t>
  </si>
  <si>
    <t>Define el contexto, alcance y objetivo del proyecto integrador, identificando el MVP heredado de Diseño de Sistemas.</t>
  </si>
  <si>
    <t>Explica el proceso de ingeniería de software adoptado y relaciona sus actividades, roles, entradas, salidas y artefactos.</t>
  </si>
  <si>
    <t>DEFINICIÓN DEL PROCESO Y CICLO DE VIDA</t>
  </si>
  <si>
    <t>Selecciona y justifica el ciclo de vida y la estrategia de desarrollo según el contrato de construcción y las características del proyecto.</t>
  </si>
  <si>
    <t>Representa el flujo del proceso de manera clara, coherente y verificable, incluyendo planificación, desarrollo, revisión y entrega.</t>
  </si>
  <si>
    <t>Mapea las áreas pertinentes de SWEBOK v4 al flujo de trabajo del proyecto y justifica su aplicación.</t>
  </si>
  <si>
    <t>Define roles, responsabilidades y acuerdos de trabajo del equipo, con evidencia de su formalización.</t>
  </si>
  <si>
    <t>Establece y aplica criterios de Definition of Ready (DoR) y Definition of Done (DoD) coherentes con los entregables.</t>
  </si>
  <si>
    <t>Explica con precisión los conceptos de proceso de ingeniería de software, ciclo de vida, Scrum, DevOps, métricas y evaluación del proceso.</t>
  </si>
  <si>
    <t>Se comunica con volumen, dicción, ritmo y lenguaje técnico adecuados.</t>
  </si>
  <si>
    <t>Demuestra preparación, dominio del expediente y capacidad para responder preguntas.</t>
  </si>
  <si>
    <t>Distribuye el tiempo de exposición de forma equilibrada y respeta el límite establecido.</t>
  </si>
  <si>
    <t>Interpreta resultados, reconoce limitaciones y sustenta decisiones con evidencia verificable.</t>
  </si>
  <si>
    <t>Utiliza una estructura visual clara, legible y pertinente, incluyendo diagramas, tablas o métricas cuando corresponda.</t>
  </si>
  <si>
    <t>Evita la lectura textual, distribuye la participación del equipo y entrega los archivos completos y organizados en el aula virtual/repositorio.</t>
  </si>
  <si>
    <t>Calidad de la sustentación y entrega</t>
  </si>
  <si>
    <t>Asegura trazabilidad entre objetivos, actividades, artefactos, tareas, evidencias y resultados del proceso.</t>
  </si>
  <si>
    <t>MEDICIÓN Y MEJORA DEL PROCESO</t>
  </si>
  <si>
    <t>Integra catálogo, modelos, trazabilidad y SRS(como referencia).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</si>
</sst>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.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1" xfId="0" applyFont="1" applyBorder="1" applyAlignment="1">
      <alignment horizontal="left" vertical="center"/>
    </xf>
    <xf numFmtId="0" fontId="5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/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/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1" xfId="0" applyFont="1" applyBorder="1"/>
    <xf numFmtId="0" fontId="3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0" fillId="0" borderId="1" xfId="0" applyBorder="1"/>
    <xf numFmtId="2" fontId="7" fillId="0" borderId="1" xfId="0" applyNumberFormat="1" applyFont="1" applyBorder="1" applyAlignment="1">
      <alignment horizontal="center" vertical="center"/>
    </xf>
    <xf numFmtId="0" fontId="0" fillId="2" borderId="0" xfId="0" applyFill="1"/>
    <xf numFmtId="0" fontId="6" fillId="3" borderId="0" xfId="0" applyFont="1" applyFill="1" applyAlignment="1">
      <alignment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14" fontId="3" fillId="0" borderId="9" xfId="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504C-4FBF-4A5C-9B5A-4FD13B1E60E5}">
  <dimension ref="A1:J65"/>
  <sheetViews>
    <sheetView tabSelected="1" topLeftCell="A30" zoomScale="160" zoomScaleNormal="160" workbookViewId="0">
      <selection activeCell="D30" sqref="D30"/>
    </sheetView>
  </sheetViews>
  <sheetFormatPr baseColWidth="10" defaultRowHeight="14.4" x14ac:dyDescent="0.3"/>
  <cols>
    <col min="1" max="1" width="13.33203125" customWidth="1"/>
    <col min="2" max="2" width="19.109375" customWidth="1"/>
    <col min="3" max="3" width="5" customWidth="1"/>
    <col min="4" max="4" width="61.33203125" customWidth="1"/>
    <col min="5" max="10" width="5.109375" customWidth="1"/>
  </cols>
  <sheetData>
    <row r="1" spans="1:10" x14ac:dyDescent="0.3">
      <c r="A1" s="2"/>
      <c r="B1" s="2"/>
      <c r="C1" s="3"/>
      <c r="D1" s="2"/>
      <c r="E1" s="8"/>
      <c r="F1" s="8"/>
      <c r="G1" s="9"/>
      <c r="H1" s="9"/>
      <c r="I1" s="9"/>
      <c r="J1" s="9"/>
    </row>
    <row r="2" spans="1:10" ht="21" x14ac:dyDescent="0.4">
      <c r="A2" s="45" t="s">
        <v>0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x14ac:dyDescent="0.3">
      <c r="A3" s="46"/>
      <c r="B3" s="46"/>
      <c r="C3" s="46"/>
      <c r="D3" s="46"/>
      <c r="E3" s="43" t="s">
        <v>41</v>
      </c>
      <c r="F3" s="44"/>
      <c r="G3" s="44"/>
      <c r="H3" s="49">
        <f ca="1">TODAY()</f>
        <v>46313</v>
      </c>
      <c r="I3" s="50"/>
      <c r="J3" s="50"/>
    </row>
    <row r="4" spans="1:10" x14ac:dyDescent="0.3">
      <c r="A4" s="1" t="s">
        <v>1</v>
      </c>
      <c r="B4" s="1"/>
      <c r="C4" s="47"/>
      <c r="D4" s="47"/>
      <c r="E4" s="48" t="s">
        <v>25</v>
      </c>
      <c r="F4" s="48"/>
      <c r="G4" s="48"/>
      <c r="H4" s="48"/>
      <c r="I4" s="48"/>
      <c r="J4" s="48"/>
    </row>
    <row r="5" spans="1:10" ht="15" thickBot="1" x14ac:dyDescent="0.35">
      <c r="A5" s="2"/>
      <c r="B5" s="2"/>
      <c r="C5" s="3"/>
      <c r="D5" s="2"/>
      <c r="E5" s="3"/>
      <c r="F5" s="3"/>
      <c r="G5" s="3"/>
      <c r="H5" s="3"/>
      <c r="I5" s="3"/>
      <c r="J5" s="3"/>
    </row>
    <row r="6" spans="1:10" x14ac:dyDescent="0.3">
      <c r="A6" s="51" t="s">
        <v>2</v>
      </c>
      <c r="B6" s="54" t="s">
        <v>3</v>
      </c>
      <c r="C6" s="54" t="s">
        <v>4</v>
      </c>
      <c r="D6" s="54" t="s">
        <v>5</v>
      </c>
      <c r="E6" s="42" t="s">
        <v>6</v>
      </c>
      <c r="F6" s="42"/>
      <c r="G6" s="42"/>
      <c r="H6" s="42"/>
      <c r="I6" s="42"/>
      <c r="J6" s="42"/>
    </row>
    <row r="7" spans="1:10" x14ac:dyDescent="0.3">
      <c r="A7" s="52"/>
      <c r="B7" s="55"/>
      <c r="C7" s="55"/>
      <c r="D7" s="55"/>
      <c r="E7" s="4">
        <v>1</v>
      </c>
      <c r="F7" s="4">
        <v>2</v>
      </c>
      <c r="G7" s="4">
        <v>3</v>
      </c>
      <c r="H7" s="4">
        <v>4</v>
      </c>
      <c r="I7" s="4">
        <v>5</v>
      </c>
      <c r="J7" s="4">
        <v>6</v>
      </c>
    </row>
    <row r="8" spans="1:10" ht="14.4" customHeight="1" x14ac:dyDescent="0.3">
      <c r="A8" s="53"/>
      <c r="B8" s="56"/>
      <c r="C8" s="56"/>
      <c r="D8" s="56"/>
      <c r="E8" s="43" t="s">
        <v>7</v>
      </c>
      <c r="F8" s="44"/>
      <c r="G8" s="44"/>
      <c r="H8" s="44"/>
      <c r="I8" s="44"/>
      <c r="J8" s="44"/>
    </row>
    <row r="9" spans="1:10" ht="14.4" customHeight="1" x14ac:dyDescent="0.3">
      <c r="A9" s="33" t="s">
        <v>36</v>
      </c>
      <c r="B9" s="57" t="s">
        <v>44</v>
      </c>
      <c r="C9" s="31">
        <v>1</v>
      </c>
      <c r="D9" s="32" t="s">
        <v>42</v>
      </c>
      <c r="E9" s="4"/>
      <c r="F9" s="4"/>
      <c r="G9" s="4"/>
      <c r="H9" s="4"/>
      <c r="I9" s="4"/>
      <c r="J9" s="4"/>
    </row>
    <row r="10" spans="1:10" ht="14.4" customHeight="1" x14ac:dyDescent="0.3">
      <c r="A10" s="34"/>
      <c r="B10" s="58"/>
      <c r="C10" s="31">
        <v>2</v>
      </c>
      <c r="D10" s="32" t="s">
        <v>43</v>
      </c>
      <c r="E10" s="4"/>
      <c r="F10" s="4"/>
      <c r="G10" s="4"/>
      <c r="H10" s="4"/>
      <c r="I10" s="4"/>
      <c r="J10" s="4"/>
    </row>
    <row r="11" spans="1:10" ht="14.4" customHeight="1" x14ac:dyDescent="0.3">
      <c r="A11" s="34"/>
      <c r="B11" s="58"/>
      <c r="C11" s="31">
        <v>3</v>
      </c>
      <c r="D11" s="32" t="s">
        <v>47</v>
      </c>
      <c r="E11" s="4"/>
      <c r="F11" s="4"/>
      <c r="G11" s="4"/>
      <c r="H11" s="4"/>
      <c r="I11" s="4"/>
      <c r="J11" s="4"/>
    </row>
    <row r="12" spans="1:10" ht="14.4" customHeight="1" x14ac:dyDescent="0.3">
      <c r="A12" s="34"/>
      <c r="B12" s="58"/>
      <c r="C12" s="31">
        <v>4</v>
      </c>
      <c r="D12" s="32" t="s">
        <v>45</v>
      </c>
      <c r="E12" s="4"/>
      <c r="F12" s="4"/>
      <c r="G12" s="4"/>
      <c r="H12" s="4"/>
      <c r="I12" s="4"/>
      <c r="J12" s="4"/>
    </row>
    <row r="13" spans="1:10" ht="14.4" customHeight="1" x14ac:dyDescent="0.3">
      <c r="A13" s="34"/>
      <c r="B13" s="58"/>
      <c r="C13" s="31">
        <v>5</v>
      </c>
      <c r="D13" s="32" t="s">
        <v>46</v>
      </c>
      <c r="E13" s="4"/>
      <c r="F13" s="4"/>
      <c r="G13" s="4"/>
      <c r="H13" s="4"/>
      <c r="I13" s="4"/>
      <c r="J13" s="4"/>
    </row>
    <row r="14" spans="1:10" ht="14.4" customHeight="1" x14ac:dyDescent="0.3">
      <c r="A14" s="34"/>
      <c r="B14" s="58"/>
      <c r="C14" s="31">
        <v>6</v>
      </c>
      <c r="D14" s="32" t="s">
        <v>26</v>
      </c>
      <c r="E14" s="4"/>
      <c r="F14" s="4"/>
      <c r="G14" s="4"/>
      <c r="H14" s="4"/>
      <c r="I14" s="4"/>
      <c r="J14" s="4"/>
    </row>
    <row r="15" spans="1:10" ht="14.4" customHeight="1" x14ac:dyDescent="0.3">
      <c r="A15" s="34"/>
      <c r="B15" s="58"/>
      <c r="C15" s="31">
        <v>7</v>
      </c>
      <c r="D15" s="32" t="s">
        <v>27</v>
      </c>
      <c r="E15" s="4"/>
      <c r="F15" s="4"/>
      <c r="G15" s="4"/>
      <c r="H15" s="4"/>
      <c r="I15" s="4"/>
      <c r="J15" s="4"/>
    </row>
    <row r="16" spans="1:10" ht="14.4" customHeight="1" x14ac:dyDescent="0.3">
      <c r="A16" s="34"/>
      <c r="B16" s="59"/>
      <c r="C16" s="31">
        <v>8</v>
      </c>
      <c r="D16" s="32" t="s">
        <v>28</v>
      </c>
      <c r="E16" s="4"/>
      <c r="F16" s="4"/>
      <c r="G16" s="4"/>
      <c r="H16" s="4"/>
      <c r="I16" s="4"/>
      <c r="J16" s="4"/>
    </row>
    <row r="17" spans="1:10" ht="14.4" customHeight="1" x14ac:dyDescent="0.3">
      <c r="A17" s="34"/>
      <c r="B17" s="57" t="s">
        <v>59</v>
      </c>
      <c r="C17" s="31">
        <v>9</v>
      </c>
      <c r="D17" s="32" t="s">
        <v>48</v>
      </c>
      <c r="E17" s="4"/>
      <c r="F17" s="4"/>
      <c r="G17" s="4"/>
      <c r="H17" s="4"/>
      <c r="I17" s="4"/>
      <c r="J17" s="4"/>
    </row>
    <row r="18" spans="1:10" ht="14.4" customHeight="1" x14ac:dyDescent="0.3">
      <c r="A18" s="34"/>
      <c r="B18" s="58"/>
      <c r="C18" s="31">
        <v>10</v>
      </c>
      <c r="D18" s="32" t="s">
        <v>49</v>
      </c>
      <c r="E18" s="4"/>
      <c r="F18" s="4"/>
      <c r="G18" s="4"/>
      <c r="H18" s="4"/>
      <c r="I18" s="4"/>
      <c r="J18" s="4"/>
    </row>
    <row r="19" spans="1:10" ht="14.4" customHeight="1" x14ac:dyDescent="0.3">
      <c r="A19" s="34"/>
      <c r="B19" s="58"/>
      <c r="C19" s="31">
        <v>11</v>
      </c>
      <c r="D19" s="32" t="s">
        <v>39</v>
      </c>
      <c r="E19" s="4"/>
      <c r="F19" s="4"/>
      <c r="G19" s="4"/>
      <c r="H19" s="4"/>
      <c r="I19" s="4"/>
      <c r="J19" s="4"/>
    </row>
    <row r="20" spans="1:10" ht="14.4" customHeight="1" x14ac:dyDescent="0.3">
      <c r="A20" s="34"/>
      <c r="B20" s="58"/>
      <c r="C20" s="31">
        <v>12</v>
      </c>
      <c r="D20" s="32" t="s">
        <v>29</v>
      </c>
      <c r="E20" s="4"/>
      <c r="F20" s="4"/>
      <c r="G20" s="4"/>
      <c r="H20" s="4"/>
      <c r="I20" s="4"/>
      <c r="J20" s="4"/>
    </row>
    <row r="21" spans="1:10" ht="14.4" customHeight="1" x14ac:dyDescent="0.3">
      <c r="A21" s="34"/>
      <c r="B21" s="58"/>
      <c r="C21" s="31">
        <v>13</v>
      </c>
      <c r="D21" s="32" t="s">
        <v>30</v>
      </c>
      <c r="E21" s="4"/>
      <c r="F21" s="4"/>
      <c r="G21" s="4"/>
      <c r="H21" s="4"/>
      <c r="I21" s="4"/>
      <c r="J21" s="4"/>
    </row>
    <row r="22" spans="1:10" ht="14.4" customHeight="1" x14ac:dyDescent="0.3">
      <c r="A22" s="34"/>
      <c r="B22" s="58"/>
      <c r="C22" s="31">
        <v>14</v>
      </c>
      <c r="D22" s="32" t="s">
        <v>31</v>
      </c>
      <c r="E22" s="4"/>
      <c r="F22" s="4"/>
      <c r="G22" s="4"/>
      <c r="H22" s="4"/>
      <c r="I22" s="4"/>
      <c r="J22" s="4"/>
    </row>
    <row r="23" spans="1:10" ht="14.4" customHeight="1" x14ac:dyDescent="0.3">
      <c r="A23" s="34"/>
      <c r="B23" s="58"/>
      <c r="C23" s="31">
        <v>15</v>
      </c>
      <c r="D23" s="32" t="s">
        <v>40</v>
      </c>
      <c r="E23" s="4"/>
      <c r="F23" s="4"/>
      <c r="G23" s="4"/>
      <c r="H23" s="4"/>
      <c r="I23" s="4"/>
      <c r="J23" s="4"/>
    </row>
    <row r="24" spans="1:10" ht="14.4" customHeight="1" x14ac:dyDescent="0.3">
      <c r="A24" s="34"/>
      <c r="B24" s="59"/>
      <c r="C24" s="31">
        <v>16</v>
      </c>
      <c r="D24" s="32" t="s">
        <v>58</v>
      </c>
      <c r="E24" s="4"/>
      <c r="F24" s="4"/>
      <c r="G24" s="4"/>
      <c r="H24" s="4"/>
      <c r="I24" s="4"/>
      <c r="J24" s="4"/>
    </row>
    <row r="25" spans="1:10" ht="14.4" customHeight="1" x14ac:dyDescent="0.3">
      <c r="A25" s="34"/>
      <c r="B25" s="57" t="s">
        <v>35</v>
      </c>
      <c r="C25" s="31">
        <v>17</v>
      </c>
      <c r="D25" s="32" t="s">
        <v>60</v>
      </c>
      <c r="E25" s="4"/>
      <c r="F25" s="4"/>
      <c r="G25" s="4"/>
      <c r="H25" s="4"/>
      <c r="I25" s="4"/>
      <c r="J25" s="4"/>
    </row>
    <row r="26" spans="1:10" ht="14.4" customHeight="1" x14ac:dyDescent="0.3">
      <c r="A26" s="34"/>
      <c r="B26" s="58"/>
      <c r="C26" s="31">
        <v>18</v>
      </c>
      <c r="D26" s="32" t="s">
        <v>32</v>
      </c>
      <c r="E26" s="4"/>
      <c r="F26" s="4"/>
      <c r="G26" s="4"/>
      <c r="H26" s="4"/>
      <c r="I26" s="4"/>
      <c r="J26" s="4"/>
    </row>
    <row r="27" spans="1:10" ht="14.4" customHeight="1" x14ac:dyDescent="0.3">
      <c r="A27" s="34"/>
      <c r="B27" s="58"/>
      <c r="C27" s="31">
        <v>19</v>
      </c>
      <c r="D27" s="32" t="s">
        <v>33</v>
      </c>
      <c r="E27" s="4"/>
      <c r="F27" s="4"/>
      <c r="G27" s="4"/>
      <c r="H27" s="4"/>
      <c r="I27" s="4"/>
      <c r="J27" s="4"/>
    </row>
    <row r="28" spans="1:10" ht="14.4" customHeight="1" x14ac:dyDescent="0.3">
      <c r="A28" s="35"/>
      <c r="B28" s="59"/>
      <c r="C28" s="31">
        <v>20</v>
      </c>
      <c r="D28" s="5" t="s">
        <v>34</v>
      </c>
      <c r="E28" s="4"/>
      <c r="F28" s="4"/>
      <c r="G28" s="4"/>
      <c r="H28" s="4"/>
      <c r="I28" s="4"/>
      <c r="J28" s="4"/>
    </row>
    <row r="29" spans="1:10" x14ac:dyDescent="0.3">
      <c r="A29" s="39" t="s">
        <v>37</v>
      </c>
      <c r="B29" s="6" t="s">
        <v>8</v>
      </c>
      <c r="C29" s="31">
        <v>21</v>
      </c>
      <c r="D29" s="5" t="s">
        <v>50</v>
      </c>
      <c r="E29" s="6"/>
      <c r="F29" s="6"/>
      <c r="G29" s="7"/>
      <c r="H29" s="7"/>
      <c r="I29" s="7"/>
      <c r="J29" s="7"/>
    </row>
    <row r="30" spans="1:10" x14ac:dyDescent="0.3">
      <c r="A30" s="40"/>
      <c r="B30" s="6" t="s">
        <v>9</v>
      </c>
      <c r="C30" s="31">
        <v>22</v>
      </c>
      <c r="D30" s="5" t="s">
        <v>51</v>
      </c>
      <c r="E30" s="6"/>
      <c r="F30" s="6"/>
      <c r="G30" s="7"/>
      <c r="H30" s="7"/>
      <c r="I30" s="7"/>
      <c r="J30" s="7"/>
    </row>
    <row r="31" spans="1:10" ht="14.4" customHeight="1" x14ac:dyDescent="0.3">
      <c r="A31" s="40"/>
      <c r="B31" s="6" t="s">
        <v>10</v>
      </c>
      <c r="C31" s="31">
        <v>23</v>
      </c>
      <c r="D31" s="5" t="s">
        <v>52</v>
      </c>
      <c r="E31" s="6"/>
      <c r="F31" s="6"/>
      <c r="G31" s="7"/>
      <c r="H31" s="7"/>
      <c r="I31" s="7"/>
      <c r="J31" s="7"/>
    </row>
    <row r="32" spans="1:10" x14ac:dyDescent="0.3">
      <c r="A32" s="40"/>
      <c r="B32" s="6" t="s">
        <v>11</v>
      </c>
      <c r="C32" s="31">
        <v>24</v>
      </c>
      <c r="D32" s="5" t="s">
        <v>53</v>
      </c>
      <c r="E32" s="6"/>
      <c r="F32" s="6"/>
      <c r="G32" s="7"/>
      <c r="H32" s="7"/>
      <c r="I32" s="7"/>
      <c r="J32" s="7"/>
    </row>
    <row r="33" spans="1:10" x14ac:dyDescent="0.3">
      <c r="A33" s="40"/>
      <c r="B33" s="6" t="s">
        <v>23</v>
      </c>
      <c r="C33" s="31">
        <v>25</v>
      </c>
      <c r="D33" s="5" t="s">
        <v>54</v>
      </c>
      <c r="E33" s="6"/>
      <c r="F33" s="6"/>
      <c r="G33" s="7"/>
      <c r="H33" s="7"/>
      <c r="I33" s="7"/>
      <c r="J33" s="7"/>
    </row>
    <row r="34" spans="1:10" x14ac:dyDescent="0.3">
      <c r="A34" s="40"/>
      <c r="B34" s="6" t="s">
        <v>12</v>
      </c>
      <c r="C34" s="31">
        <v>26</v>
      </c>
      <c r="D34" s="5" t="s">
        <v>55</v>
      </c>
      <c r="E34" s="6"/>
      <c r="F34" s="6"/>
      <c r="G34" s="7"/>
      <c r="H34" s="7"/>
      <c r="I34" s="7"/>
      <c r="J34" s="7"/>
    </row>
    <row r="35" spans="1:10" x14ac:dyDescent="0.3">
      <c r="A35" s="41"/>
      <c r="B35" s="60" t="s">
        <v>57</v>
      </c>
      <c r="C35" s="31">
        <v>27</v>
      </c>
      <c r="D35" s="5" t="s">
        <v>56</v>
      </c>
      <c r="E35" s="6"/>
      <c r="F35" s="6"/>
      <c r="G35" s="7"/>
      <c r="H35" s="7"/>
      <c r="I35" s="7"/>
      <c r="J35" s="7"/>
    </row>
    <row r="36" spans="1:10" ht="15" thickBot="1" x14ac:dyDescent="0.35">
      <c r="A36" s="18"/>
      <c r="B36" s="19"/>
      <c r="C36" s="20"/>
      <c r="D36" s="21"/>
      <c r="E36" s="6"/>
      <c r="F36" s="6"/>
      <c r="G36" s="7"/>
      <c r="H36" s="7"/>
      <c r="I36" s="7"/>
      <c r="J36" s="7"/>
    </row>
    <row r="37" spans="1:10" ht="15" thickBot="1" x14ac:dyDescent="0.35">
      <c r="A37" s="36" t="s">
        <v>13</v>
      </c>
      <c r="B37" s="37"/>
      <c r="C37" s="37"/>
      <c r="D37" s="38"/>
      <c r="E37" s="22">
        <f>SUM(E9:E35)</f>
        <v>0</v>
      </c>
      <c r="F37" s="22">
        <f t="shared" ref="F37:J37" si="0">SUM(F9:F35)</f>
        <v>0</v>
      </c>
      <c r="G37" s="22">
        <f t="shared" si="0"/>
        <v>0</v>
      </c>
      <c r="H37" s="22">
        <f t="shared" si="0"/>
        <v>0</v>
      </c>
      <c r="I37" s="22">
        <f t="shared" si="0"/>
        <v>0</v>
      </c>
      <c r="J37" s="22">
        <f>SUM(J9:J35)</f>
        <v>0</v>
      </c>
    </row>
    <row r="38" spans="1:10" x14ac:dyDescent="0.3">
      <c r="A38" s="10"/>
      <c r="B38" s="10"/>
      <c r="C38" s="10"/>
      <c r="D38" s="10" t="s">
        <v>38</v>
      </c>
      <c r="E38" s="3">
        <v>5.4</v>
      </c>
      <c r="F38" s="8"/>
      <c r="G38" s="9"/>
      <c r="H38" s="9"/>
      <c r="I38" s="9"/>
      <c r="J38" s="9"/>
    </row>
    <row r="39" spans="1:10" x14ac:dyDescent="0.3">
      <c r="A39" s="1" t="s">
        <v>14</v>
      </c>
      <c r="B39" s="11"/>
      <c r="C39" s="3"/>
      <c r="D39" s="24" t="s">
        <v>24</v>
      </c>
      <c r="E39" s="4">
        <v>1</v>
      </c>
      <c r="F39" s="4">
        <v>2</v>
      </c>
      <c r="G39" s="4">
        <v>3</v>
      </c>
      <c r="H39" s="4">
        <v>4</v>
      </c>
      <c r="I39" s="4">
        <v>5</v>
      </c>
      <c r="J39" s="4">
        <v>6</v>
      </c>
    </row>
    <row r="40" spans="1:10" x14ac:dyDescent="0.3">
      <c r="A40" s="12">
        <v>1</v>
      </c>
      <c r="B40" s="13" t="s">
        <v>15</v>
      </c>
      <c r="C40" s="3"/>
      <c r="D40" s="14" t="s">
        <v>19</v>
      </c>
      <c r="E40" s="23">
        <f>E37/5.4</f>
        <v>0</v>
      </c>
      <c r="F40" s="23">
        <f t="shared" ref="F40:J40" si="1">F37/5.4</f>
        <v>0</v>
      </c>
      <c r="G40" s="23">
        <f t="shared" si="1"/>
        <v>0</v>
      </c>
      <c r="H40" s="23">
        <f t="shared" si="1"/>
        <v>0</v>
      </c>
      <c r="I40" s="23">
        <f t="shared" si="1"/>
        <v>0</v>
      </c>
      <c r="J40" s="23">
        <f t="shared" si="1"/>
        <v>0</v>
      </c>
    </row>
    <row r="41" spans="1:10" x14ac:dyDescent="0.3">
      <c r="A41" s="12">
        <v>2</v>
      </c>
      <c r="B41" s="13" t="s">
        <v>16</v>
      </c>
      <c r="C41" s="3"/>
      <c r="D41" s="14" t="s">
        <v>20</v>
      </c>
      <c r="E41" s="23"/>
      <c r="F41" s="23"/>
      <c r="G41" s="23"/>
      <c r="H41" s="23"/>
      <c r="I41" s="23"/>
      <c r="J41" s="23"/>
    </row>
    <row r="42" spans="1:10" x14ac:dyDescent="0.3">
      <c r="A42" s="12">
        <v>3</v>
      </c>
      <c r="B42" s="13" t="s">
        <v>17</v>
      </c>
      <c r="C42" s="3"/>
      <c r="D42" s="14" t="s">
        <v>21</v>
      </c>
      <c r="E42" s="23"/>
      <c r="F42" s="23"/>
      <c r="G42" s="23"/>
      <c r="H42" s="23"/>
      <c r="I42" s="23"/>
      <c r="J42" s="23"/>
    </row>
    <row r="43" spans="1:10" x14ac:dyDescent="0.3">
      <c r="A43" s="12">
        <v>4</v>
      </c>
      <c r="B43" s="13" t="s">
        <v>18</v>
      </c>
      <c r="C43" s="3"/>
      <c r="D43" s="17" t="s">
        <v>22</v>
      </c>
      <c r="E43" s="25">
        <f>AVERAGE(E40:E42)</f>
        <v>0</v>
      </c>
      <c r="F43" s="25">
        <f t="shared" ref="F43:J43" si="2">AVERAGE(F40:F42)</f>
        <v>0</v>
      </c>
      <c r="G43" s="25">
        <f t="shared" si="2"/>
        <v>0</v>
      </c>
      <c r="H43" s="25">
        <f t="shared" si="2"/>
        <v>0</v>
      </c>
      <c r="I43" s="25">
        <f t="shared" si="2"/>
        <v>0</v>
      </c>
      <c r="J43" s="25">
        <f t="shared" si="2"/>
        <v>0</v>
      </c>
    </row>
    <row r="44" spans="1:10" x14ac:dyDescent="0.3">
      <c r="A44" s="15"/>
      <c r="B44" s="16"/>
      <c r="C44" s="3"/>
      <c r="D44">
        <f>27*4</f>
        <v>108</v>
      </c>
      <c r="E44">
        <f>D44/5.4</f>
        <v>20</v>
      </c>
    </row>
    <row r="45" spans="1:10" x14ac:dyDescent="0.3">
      <c r="A45" s="15"/>
      <c r="B45" s="27"/>
      <c r="C45" s="3"/>
      <c r="D45" s="2"/>
      <c r="J45" s="26"/>
    </row>
    <row r="46" spans="1:10" x14ac:dyDescent="0.3">
      <c r="A46" s="15"/>
      <c r="B46" s="27"/>
      <c r="C46" s="3"/>
      <c r="D46" s="2"/>
      <c r="J46" s="26"/>
    </row>
    <row r="47" spans="1:10" x14ac:dyDescent="0.3">
      <c r="B47" s="28"/>
      <c r="C47" s="3"/>
      <c r="D47" s="2"/>
      <c r="J47" s="26"/>
    </row>
    <row r="48" spans="1:10" x14ac:dyDescent="0.3">
      <c r="B48" s="28"/>
      <c r="C48" s="3"/>
      <c r="D48" s="2"/>
      <c r="J48" s="26"/>
    </row>
    <row r="49" spans="2:10" x14ac:dyDescent="0.3">
      <c r="B49" s="28"/>
      <c r="C49" s="3"/>
      <c r="D49" s="2"/>
      <c r="J49" s="26"/>
    </row>
    <row r="50" spans="2:10" x14ac:dyDescent="0.3">
      <c r="B50" s="29"/>
      <c r="C50" s="3"/>
      <c r="D50" s="2"/>
      <c r="J50" s="26"/>
    </row>
    <row r="51" spans="2:10" x14ac:dyDescent="0.3">
      <c r="B51" s="29"/>
      <c r="C51" s="3"/>
      <c r="D51" s="2"/>
      <c r="J51" s="26"/>
    </row>
    <row r="52" spans="2:10" x14ac:dyDescent="0.3">
      <c r="B52" s="29"/>
      <c r="C52" s="3"/>
      <c r="D52" s="2"/>
      <c r="J52" s="26"/>
    </row>
    <row r="53" spans="2:10" x14ac:dyDescent="0.3">
      <c r="B53" s="29"/>
      <c r="C53" s="3"/>
      <c r="D53" s="2"/>
      <c r="J53" s="26"/>
    </row>
    <row r="54" spans="2:10" x14ac:dyDescent="0.3">
      <c r="B54" s="30"/>
      <c r="C54" s="3"/>
      <c r="D54" s="2"/>
      <c r="J54" s="26"/>
    </row>
    <row r="55" spans="2:10" x14ac:dyDescent="0.3">
      <c r="B55" s="30"/>
      <c r="C55" s="3"/>
      <c r="D55" s="2"/>
      <c r="J55" s="26"/>
    </row>
    <row r="56" spans="2:10" x14ac:dyDescent="0.3">
      <c r="B56" s="30"/>
      <c r="C56" s="3"/>
      <c r="D56" s="2"/>
      <c r="J56" s="26"/>
    </row>
    <row r="57" spans="2:10" x14ac:dyDescent="0.3">
      <c r="B57" s="30"/>
      <c r="C57" s="3"/>
      <c r="D57" s="2"/>
      <c r="J57" s="26"/>
    </row>
    <row r="58" spans="2:10" x14ac:dyDescent="0.3">
      <c r="C58" s="3"/>
      <c r="D58" s="2"/>
      <c r="J58" s="26"/>
    </row>
    <row r="59" spans="2:10" x14ac:dyDescent="0.3">
      <c r="C59" s="3"/>
      <c r="D59" s="2"/>
      <c r="J59" s="26"/>
    </row>
    <row r="60" spans="2:10" x14ac:dyDescent="0.3">
      <c r="C60" s="3"/>
      <c r="D60" s="2"/>
      <c r="J60" s="26"/>
    </row>
    <row r="61" spans="2:10" x14ac:dyDescent="0.3">
      <c r="C61" s="3"/>
      <c r="D61" s="2"/>
      <c r="J61" s="26"/>
    </row>
    <row r="62" spans="2:10" x14ac:dyDescent="0.3">
      <c r="C62" s="3"/>
      <c r="D62" s="2"/>
      <c r="J62" s="26"/>
    </row>
    <row r="63" spans="2:10" x14ac:dyDescent="0.3">
      <c r="C63" s="3"/>
      <c r="D63" s="2"/>
      <c r="J63" s="26"/>
    </row>
    <row r="64" spans="2:10" x14ac:dyDescent="0.3">
      <c r="C64" s="3"/>
      <c r="D64" s="2"/>
      <c r="J64" s="26"/>
    </row>
    <row r="65" spans="3:10" x14ac:dyDescent="0.3">
      <c r="C65" s="3"/>
      <c r="D65" s="2"/>
      <c r="J65" s="26"/>
    </row>
  </sheetData>
  <mergeCells count="18">
    <mergeCell ref="A2:J2"/>
    <mergeCell ref="A3:D3"/>
    <mergeCell ref="C4:D4"/>
    <mergeCell ref="E4:J4"/>
    <mergeCell ref="E3:G3"/>
    <mergeCell ref="H3:J3"/>
    <mergeCell ref="A9:A28"/>
    <mergeCell ref="A37:D37"/>
    <mergeCell ref="A29:A35"/>
    <mergeCell ref="E6:J6"/>
    <mergeCell ref="E8:J8"/>
    <mergeCell ref="A6:A8"/>
    <mergeCell ref="B6:B8"/>
    <mergeCell ref="C6:C8"/>
    <mergeCell ref="D6:D8"/>
    <mergeCell ref="B9:B16"/>
    <mergeCell ref="B17:B24"/>
    <mergeCell ref="B25:B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 mollo condori</cp:lastModifiedBy>
  <dcterms:created xsi:type="dcterms:W3CDTF">2025-06-09T23:16:49Z</dcterms:created>
  <dcterms:modified xsi:type="dcterms:W3CDTF">2026-10-18T05:16:43Z</dcterms:modified>
</cp:coreProperties>
</file>